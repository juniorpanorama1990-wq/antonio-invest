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pan\Desktop\PRINTS QUESTIONARIOS CURSO IA\TRABALHOS IA\PLANILHAS LIPAN\"/>
    </mc:Choice>
  </mc:AlternateContent>
  <bookViews>
    <workbookView xWindow="0" yWindow="0" windowWidth="20490" windowHeight="7755"/>
  </bookViews>
  <sheets>
    <sheet name="APP" sheetId="1" r:id="rId1"/>
    <sheet name="APOIO" sheetId="2" r:id="rId2"/>
  </sheets>
  <externalReferences>
    <externalReference r:id="rId3"/>
  </externalReferences>
  <definedNames>
    <definedName name="aporte">APP!$C$15</definedName>
    <definedName name="lista_perfis">[1]Apoio!$F$5:$F$7</definedName>
    <definedName name="patrimonio">APP!$C$18</definedName>
    <definedName name="pct_aporte">APP!$C$11</definedName>
    <definedName name="prazo_anos">APP!$C$16</definedName>
    <definedName name="rendimento_carteira">APP!$C$10</definedName>
    <definedName name="salario">APP!$C$9</definedName>
    <definedName name="sugestao_aporte">APP!$C$12</definedName>
    <definedName name="tabela_perfis">[1]Apoio!$A$5:$D$22</definedName>
    <definedName name="taxa_mensal">APP!$C$17</definedName>
  </definedName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2" i="2" l="1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G7" i="2"/>
  <c r="H7" i="2" s="1"/>
  <c r="A7" i="2"/>
  <c r="G6" i="2"/>
  <c r="H6" i="2" s="1"/>
  <c r="A6" i="2"/>
  <c r="G5" i="2"/>
  <c r="H5" i="2" s="1"/>
  <c r="A5" i="2"/>
  <c r="E42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C33" i="1"/>
  <c r="F29" i="1"/>
  <c r="E29" i="1"/>
  <c r="D29" i="1"/>
  <c r="C29" i="1"/>
  <c r="F28" i="1"/>
  <c r="E28" i="1"/>
  <c r="D28" i="1"/>
  <c r="C28" i="1"/>
  <c r="F27" i="1"/>
  <c r="E27" i="1"/>
  <c r="D27" i="1"/>
  <c r="C27" i="1"/>
  <c r="F26" i="1"/>
  <c r="E26" i="1"/>
  <c r="D26" i="1"/>
  <c r="C26" i="1"/>
  <c r="F25" i="1"/>
  <c r="E25" i="1"/>
  <c r="D25" i="1"/>
  <c r="C25" i="1"/>
  <c r="C21" i="1"/>
  <c r="C20" i="1"/>
  <c r="C19" i="1"/>
  <c r="C18" i="1"/>
  <c r="D17" i="1"/>
  <c r="D15" i="1"/>
  <c r="C12" i="1"/>
</calcChain>
</file>

<file path=xl/sharedStrings.xml><?xml version="1.0" encoding="utf-8"?>
<sst xmlns="http://schemas.openxmlformats.org/spreadsheetml/2006/main" count="103" uniqueCount="65">
  <si>
    <t>ANTONIO INVEST</t>
  </si>
  <si>
    <t>Planejador de aportes mensais em Fundos Imobiliários (FIIs)</t>
  </si>
  <si>
    <t>Amarelo com texto azul = você preenche</t>
  </si>
  <si>
    <t>Cinza = calculado (não editar)</t>
  </si>
  <si>
    <t>CONFIGURAÇÕES</t>
  </si>
  <si>
    <t>Salário mensal</t>
  </si>
  <si>
    <t>Rendimento mensal da carteira</t>
  </si>
  <si>
    <t>Dividendos que a carteira paga por mês sobre o patrimônio (yield mensal).</t>
  </si>
  <si>
    <t>% do salário para investir</t>
  </si>
  <si>
    <t>Regra usada: separar 30% do salário para investir.</t>
  </si>
  <si>
    <t>Sugestão de aporte mensal</t>
  </si>
  <si>
    <t>Salário × % do salário para investir.</t>
  </si>
  <si>
    <t>SIMULAÇÃO: AS 5 PERGUNTAS</t>
  </si>
  <si>
    <t>1) Quanto investir por mês?</t>
  </si>
  <si>
    <t>2) Por quantos anos?</t>
  </si>
  <si>
    <t>Informe de 1 a 50 anos.</t>
  </si>
  <si>
    <t>3) Qual a taxa de rendimento mensal?</t>
  </si>
  <si>
    <t>4) Quanto de patrimônio vai acumular?</t>
  </si>
  <si>
    <t>Calculado com a função VF (valor futuro).</t>
  </si>
  <si>
    <t>5) Quanto vai receber de dividendos por mês?</t>
  </si>
  <si>
    <t>Patrimônio × rendimento mensal da carteira.</t>
  </si>
  <si>
    <t>Total que sai do seu bolso</t>
  </si>
  <si>
    <t>Aporte × número de meses.</t>
  </si>
  <si>
    <t>Quanto vem dos rendimentos</t>
  </si>
  <si>
    <t>Patrimônio − total aportado.</t>
  </si>
  <si>
    <t>CENÁRIOS DE 2 A 30 ANOS (mesmo aporte e mesma taxa)</t>
  </si>
  <si>
    <t>Prazo</t>
  </si>
  <si>
    <t>Patrimônio acumulado</t>
  </si>
  <si>
    <t>Total aportado</t>
  </si>
  <si>
    <t>Rendimento ganho</t>
  </si>
  <si>
    <t>Dividendo mensal</t>
  </si>
  <si>
    <t>DIVISÃO DO APORTE POR PERFIL</t>
  </si>
  <si>
    <t>Perfil do investidor</t>
  </si>
  <si>
    <t>Moderado</t>
  </si>
  <si>
    <t>Escolha na lista: Conservador, Moderado ou Agressivo.</t>
  </si>
  <si>
    <t>Valor a investir por mês</t>
  </si>
  <si>
    <t>Vem do aporte informado na pergunta 1.</t>
  </si>
  <si>
    <t>Tipo de FII</t>
  </si>
  <si>
    <t>% sugerido</t>
  </si>
  <si>
    <t>Valor por mês</t>
  </si>
  <si>
    <t>Como funciona</t>
  </si>
  <si>
    <t>Papel</t>
  </si>
  <si>
    <t>Investe em CRIs (dívidas imobiliárias). Renda mensal mais previsível.</t>
  </si>
  <si>
    <t>Tijolo</t>
  </si>
  <si>
    <t>Imóveis físicos: lajes, galpões, shoppings. Aluguel + valorização.</t>
  </si>
  <si>
    <t>Híbrido</t>
  </si>
  <si>
    <t>Mistura imóveis e títulos na mesma carteira.</t>
  </si>
  <si>
    <t>Fundo de Fundos</t>
  </si>
  <si>
    <t>Compra cotas de outros FIIs. Diversificação automática.</t>
  </si>
  <si>
    <t>Desenvolvimento</t>
  </si>
  <si>
    <t>Constrói e desenvolve imóveis. Potencial maior, risco maior.</t>
  </si>
  <si>
    <t>Hotelaria</t>
  </si>
  <si>
    <t>Hotéis e flats. Renda ligada ao turismo e à economia.</t>
  </si>
  <si>
    <t>TOTAL</t>
  </si>
  <si>
    <t>TABELA DE APOIO: perfis × tipos de FII</t>
  </si>
  <si>
    <t>Amarelo = percentuais editáveis. Cada perfil precisa somar 100%. A chave (cinza) junta Perfil e Tipo para o PROCV.</t>
  </si>
  <si>
    <t>CHAVE</t>
  </si>
  <si>
    <t>PERFIL</t>
  </si>
  <si>
    <t>TIPO DE FII</t>
  </si>
  <si>
    <t>%</t>
  </si>
  <si>
    <t>SOMA DOS %</t>
  </si>
  <si>
    <t>CONFERÊNCIA</t>
  </si>
  <si>
    <t>Conservador</t>
  </si>
  <si>
    <t>Agressivo</t>
  </si>
  <si>
    <t>Seu salário líquido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</si>
</sst>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R$ &quot;#,##0.00"/>
    <numFmt numFmtId="165" formatCode="0&quot; anos&quot;"/>
    <numFmt numFmtId="166" formatCode="&quot;Equivale a &quot;0.00%&quot; ao ano&quot;"/>
    <numFmt numFmtId="167" formatCode="&quot;Em &quot;0&quot; anos&quot;"/>
  </numFmts>
  <fonts count="15" x14ac:knownFonts="1">
    <font>
      <sz val="11"/>
      <color theme="1"/>
      <name val="Calibri"/>
      <family val="2"/>
      <scheme val="minor"/>
    </font>
    <font>
      <b/>
      <sz val="28"/>
      <color rgb="FFFFFFFF"/>
      <name val="Arial"/>
      <charset val="1"/>
    </font>
    <font>
      <b/>
      <sz val="11"/>
      <color rgb="FFF5B335"/>
      <name val="Arial"/>
      <charset val="1"/>
    </font>
    <font>
      <b/>
      <sz val="9"/>
      <color rgb="FF0000FF"/>
      <name val="Arial"/>
      <charset val="1"/>
    </font>
    <font>
      <b/>
      <sz val="9"/>
      <color rgb="FF000000"/>
      <name val="Arial"/>
      <charset val="1"/>
    </font>
    <font>
      <b/>
      <sz val="11"/>
      <color rgb="FF12263F"/>
      <name val="Arial"/>
      <charset val="1"/>
    </font>
    <font>
      <sz val="10"/>
      <color rgb="FF000000"/>
      <name val="Arial"/>
      <charset val="1"/>
    </font>
    <font>
      <b/>
      <sz val="10"/>
      <color rgb="FF0000FF"/>
      <name val="Arial"/>
      <charset val="1"/>
    </font>
    <font>
      <i/>
      <sz val="8"/>
      <color rgb="FF595959"/>
      <name val="Arial"/>
      <charset val="1"/>
    </font>
    <font>
      <b/>
      <sz val="10"/>
      <color rgb="FF000000"/>
      <name val="Arial"/>
      <charset val="1"/>
    </font>
    <font>
      <b/>
      <sz val="9"/>
      <color rgb="FFFFFFFF"/>
      <name val="Arial"/>
      <charset val="1"/>
    </font>
    <font>
      <i/>
      <sz val="8"/>
      <color rgb="FF7F7F7F"/>
      <name val="Arial"/>
      <charset val="1"/>
    </font>
    <font>
      <b/>
      <sz val="13"/>
      <color rgb="FF12263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2263F"/>
        <bgColor rgb="FF003300"/>
      </patternFill>
    </fill>
    <fill>
      <patternFill patternType="solid">
        <fgColor rgb="FFFFF4D6"/>
        <bgColor rgb="FFF9F9F9"/>
      </patternFill>
    </fill>
    <fill>
      <patternFill patternType="solid">
        <fgColor rgb="FFEDEDED"/>
        <bgColor rgb="FFF9F9F9"/>
      </patternFill>
    </fill>
    <fill>
      <patternFill patternType="solid">
        <fgColor rgb="FFF5B335"/>
        <bgColor rgb="FFFF9900"/>
      </patternFill>
    </fill>
  </fills>
  <borders count="4">
    <border>
      <left/>
      <right/>
      <top/>
      <bottom/>
      <diagonal/>
    </border>
    <border>
      <left/>
      <right/>
      <top/>
      <bottom style="thick">
        <color rgb="FFF5B335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3" borderId="2" xfId="0" applyFont="1" applyFill="1" applyBorder="1" applyAlignment="1">
      <alignment horizontal="center"/>
    </xf>
    <xf numFmtId="0" fontId="6" fillId="0" borderId="2" xfId="0" applyFont="1" applyBorder="1" applyAlignment="1">
      <alignment vertical="center" indent="1"/>
    </xf>
    <xf numFmtId="164" fontId="7" fillId="3" borderId="2" xfId="0" applyNumberFormat="1" applyFont="1" applyFill="1" applyBorder="1" applyAlignment="1" applyProtection="1">
      <alignment horizontal="right" vertical="center"/>
      <protection locked="0"/>
    </xf>
    <xf numFmtId="10" fontId="7" fillId="3" borderId="2" xfId="0" applyNumberFormat="1" applyFont="1" applyFill="1" applyBorder="1" applyAlignment="1" applyProtection="1">
      <alignment horizontal="right" vertical="center"/>
      <protection locked="0"/>
    </xf>
    <xf numFmtId="9" fontId="7" fillId="3" borderId="2" xfId="0" applyNumberFormat="1" applyFont="1" applyFill="1" applyBorder="1" applyAlignment="1" applyProtection="1">
      <alignment horizontal="right" vertical="center"/>
      <protection locked="0"/>
    </xf>
    <xf numFmtId="164" fontId="9" fillId="4" borderId="2" xfId="0" applyNumberFormat="1" applyFont="1" applyFill="1" applyBorder="1" applyAlignment="1">
      <alignment horizontal="right" vertical="center"/>
    </xf>
    <xf numFmtId="165" fontId="7" fillId="3" borderId="2" xfId="0" applyNumberFormat="1" applyFont="1" applyFill="1" applyBorder="1" applyAlignment="1" applyProtection="1">
      <alignment horizontal="right" vertical="center"/>
      <protection locked="0"/>
    </xf>
    <xf numFmtId="0" fontId="9" fillId="0" borderId="2" xfId="0" applyFont="1" applyBorder="1" applyAlignment="1">
      <alignment vertical="center" indent="1"/>
    </xf>
    <xf numFmtId="164" fontId="6" fillId="4" borderId="2" xfId="0" applyNumberFormat="1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center" vertical="center" wrapText="1"/>
    </xf>
    <xf numFmtId="167" fontId="7" fillId="3" borderId="2" xfId="0" applyNumberFormat="1" applyFont="1" applyFill="1" applyBorder="1" applyAlignment="1" applyProtection="1">
      <alignment horizontal="left" indent="1"/>
      <protection locked="0"/>
    </xf>
    <xf numFmtId="0" fontId="7" fillId="3" borderId="2" xfId="0" applyFont="1" applyFill="1" applyBorder="1" applyAlignment="1" applyProtection="1">
      <alignment horizontal="center"/>
      <protection locked="0"/>
    </xf>
    <xf numFmtId="0" fontId="10" fillId="2" borderId="2" xfId="0" applyFont="1" applyFill="1" applyBorder="1" applyAlignment="1">
      <alignment horizontal="center" vertical="center"/>
    </xf>
    <xf numFmtId="9" fontId="6" fillId="4" borderId="2" xfId="0" applyNumberFormat="1" applyFont="1" applyFill="1" applyBorder="1" applyAlignment="1">
      <alignment horizontal="center" vertical="center"/>
    </xf>
    <xf numFmtId="9" fontId="9" fillId="4" borderId="2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14" fillId="2" borderId="2" xfId="0" applyFont="1" applyFill="1" applyBorder="1" applyAlignment="1">
      <alignment horizontal="center"/>
    </xf>
    <xf numFmtId="0" fontId="6" fillId="4" borderId="2" xfId="0" applyFont="1" applyFill="1" applyBorder="1"/>
    <xf numFmtId="0" fontId="6" fillId="0" borderId="2" xfId="0" applyFont="1" applyBorder="1"/>
    <xf numFmtId="9" fontId="7" fillId="3" borderId="2" xfId="0" applyNumberFormat="1" applyFont="1" applyFill="1" applyBorder="1" applyAlignment="1">
      <alignment horizontal="center"/>
    </xf>
    <xf numFmtId="0" fontId="9" fillId="0" borderId="2" xfId="0" applyFont="1" applyBorder="1"/>
    <xf numFmtId="9" fontId="0" fillId="4" borderId="2" xfId="0" applyNumberForma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8" fillId="0" borderId="2" xfId="0" applyFont="1" applyBorder="1" applyAlignment="1">
      <alignment vertical="center" wrapText="1" indent="1"/>
    </xf>
    <xf numFmtId="0" fontId="4" fillId="4" borderId="0" xfId="0" applyFont="1" applyFill="1" applyBorder="1" applyAlignment="1">
      <alignment horizontal="center"/>
    </xf>
    <xf numFmtId="0" fontId="11" fillId="0" borderId="0" xfId="0" applyFont="1" applyBorder="1" applyAlignment="1">
      <alignment vertical="top" wrapText="1" indent="1"/>
    </xf>
    <xf numFmtId="0" fontId="8" fillId="0" borderId="0" xfId="0" applyFont="1" applyBorder="1" applyAlignment="1">
      <alignment vertical="center" wrapText="1" indent="1"/>
    </xf>
    <xf numFmtId="0" fontId="10" fillId="2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vertical="center" indent="1"/>
    </xf>
    <xf numFmtId="0" fontId="4" fillId="4" borderId="0" xfId="0" applyFont="1" applyFill="1" applyBorder="1" applyAlignment="1">
      <alignment vertical="center" wrapText="1" indent="1"/>
    </xf>
    <xf numFmtId="166" fontId="8" fillId="4" borderId="0" xfId="0" applyNumberFormat="1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</cellXfs>
  <cellStyles count="1">
    <cellStyle name="Normal" xfId="0" builtinId="0"/>
  </cellStyles>
  <dxfs count="4">
    <dxf>
      <font>
        <b/>
        <sz val="9"/>
        <color rgb="FF9C0006"/>
        <name val="Arial"/>
      </font>
      <fill>
        <patternFill>
          <bgColor rgb="FFFFC7CE"/>
        </patternFill>
      </fill>
    </dxf>
    <dxf>
      <font>
        <b/>
        <sz val="9"/>
        <color rgb="FF006100"/>
        <name val="Arial"/>
      </font>
      <fill>
        <patternFill>
          <bgColor rgb="FFC6EFCE"/>
        </patternFill>
      </fill>
    </dxf>
    <dxf>
      <font>
        <b/>
        <sz val="9"/>
        <color rgb="FF9C0006"/>
        <name val="Arial"/>
      </font>
      <fill>
        <patternFill>
          <bgColor rgb="FFFFC7CE"/>
        </patternFill>
      </fill>
    </dxf>
    <dxf>
      <font>
        <b/>
        <sz val="9"/>
        <color rgb="FF006100"/>
        <name val="Arial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Patrimônio × total aportado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[1]APP!$C$24</c:f>
              <c:strCache>
                <c:ptCount val="1"/>
                <c:pt idx="0">
                  <c:v>Patrimônio acumulado</c:v>
                </c:pt>
              </c:strCache>
            </c:strRef>
          </c:tx>
          <c:spPr>
            <a:solidFill>
              <a:srgbClr val="12263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[1]APP!$B$25:$B$29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cat>
          <c:val>
            <c:numRef>
              <c:f>[1]APP!$C$25:$C$29</c:f>
              <c:numCache>
                <c:formatCode>General</c:formatCode>
                <c:ptCount val="5"/>
                <c:pt idx="0">
                  <c:v>26343.155111119566</c:v>
                </c:pt>
                <c:pt idx="1">
                  <c:v>76623.866831880223</c:v>
                </c:pt>
                <c:pt idx="2">
                  <c:v>200217.46940991812</c:v>
                </c:pt>
                <c:pt idx="3">
                  <c:v>721131.21927512833</c:v>
                </c:pt>
                <c:pt idx="4">
                  <c:v>2076413.2313710852</c:v>
                </c:pt>
              </c:numCache>
            </c:numRef>
          </c:val>
        </c:ser>
        <c:ser>
          <c:idx val="1"/>
          <c:order val="1"/>
          <c:tx>
            <c:strRef>
              <c:f>[1]APP!$D$24</c:f>
              <c:strCache>
                <c:ptCount val="1"/>
                <c:pt idx="0">
                  <c:v>Total aportado</c:v>
                </c:pt>
              </c:strCache>
            </c:strRef>
          </c:tx>
          <c:spPr>
            <a:solidFill>
              <a:srgbClr val="F5B33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[1]APP!$B$25:$B$29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cat>
          <c:val>
            <c:numRef>
              <c:f>[1]APP!$D$25:$D$29</c:f>
              <c:numCache>
                <c:formatCode>General</c:formatCode>
                <c:ptCount val="5"/>
                <c:pt idx="0">
                  <c:v>24000</c:v>
                </c:pt>
                <c:pt idx="1">
                  <c:v>60000</c:v>
                </c:pt>
                <c:pt idx="2">
                  <c:v>120000</c:v>
                </c:pt>
                <c:pt idx="3">
                  <c:v>240000</c:v>
                </c:pt>
                <c:pt idx="4">
                  <c:v>360000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5369616"/>
        <c:axId val="275369224"/>
      </c:barChart>
      <c:catAx>
        <c:axId val="2753696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Prazo (anos)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75369224"/>
        <c:crosses val="autoZero"/>
        <c:auto val="1"/>
        <c:lblAlgn val="ctr"/>
        <c:lblOffset val="100"/>
        <c:noMultiLvlLbl val="0"/>
      </c:catAx>
      <c:valAx>
        <c:axId val="275369224"/>
        <c:scaling>
          <c:orientation val="minMax"/>
        </c:scaling>
        <c:delete val="0"/>
        <c:axPos val="l"/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75369616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Divisão do aporte por tipo de FII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[1]APP!$C$35</c:f>
              <c:strCache>
                <c:ptCount val="1"/>
                <c:pt idx="0">
                  <c:v>% sugerido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2263F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F5B335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2E7D6B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7FA8C9"/>
              </a:solidFill>
              <a:ln w="0">
                <a:noFill/>
              </a:ln>
            </c:spPr>
          </c:dPt>
          <c:dPt>
            <c:idx val="4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5"/>
            <c:bubble3D val="0"/>
            <c:spPr>
              <a:solidFill>
                <a:srgbClr val="8E8E8E"/>
              </a:solidFill>
              <a:ln w="0">
                <a:noFill/>
              </a:ln>
            </c:spPr>
          </c:dPt>
          <c:dLbls>
            <c:dLbl>
              <c:idx val="0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bestFit"/>
            <c:showLegendKey val="1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[1]APP!$B$36:$B$41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Fundo de Fundos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[1]APP!$C$36:$C$41</c:f>
              <c:numCache>
                <c:formatCode>General</c:formatCode>
                <c:ptCount val="6"/>
                <c:pt idx="0">
                  <c:v>0.3</c:v>
                </c:pt>
                <c:pt idx="1">
                  <c:v>0.3</c:v>
                </c:pt>
                <c:pt idx="2">
                  <c:v>0.15</c:v>
                </c:pt>
                <c:pt idx="3">
                  <c:v>0.1</c:v>
                </c:pt>
                <c:pt idx="4">
                  <c:v>0.05</c:v>
                </c:pt>
                <c:pt idx="5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13</xdr:row>
      <xdr:rowOff>0</xdr:rowOff>
    </xdr:from>
    <xdr:to>
      <xdr:col>14</xdr:col>
      <xdr:colOff>528600</xdr:colOff>
      <xdr:row>28</xdr:row>
      <xdr:rowOff>166245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30</xdr:row>
      <xdr:rowOff>0</xdr:rowOff>
    </xdr:from>
    <xdr:to>
      <xdr:col>14</xdr:col>
      <xdr:colOff>528600</xdr:colOff>
      <xdr:row>45</xdr:row>
      <xdr:rowOff>165915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TONIO_INVEST_planilha_de_investimen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"/>
      <sheetName val="Apoio"/>
    </sheetNames>
    <sheetDataSet>
      <sheetData sheetId="0">
        <row r="24">
          <cell r="C24" t="str">
            <v>Patrimônio acumulado</v>
          </cell>
          <cell r="D24" t="str">
            <v>Total aportado</v>
          </cell>
        </row>
        <row r="25">
          <cell r="B25">
            <v>2</v>
          </cell>
          <cell r="C25">
            <v>26343.155111119566</v>
          </cell>
          <cell r="D25">
            <v>24000</v>
          </cell>
        </row>
        <row r="26">
          <cell r="B26">
            <v>5</v>
          </cell>
          <cell r="C26">
            <v>76623.866831880223</v>
          </cell>
          <cell r="D26">
            <v>60000</v>
          </cell>
        </row>
        <row r="27">
          <cell r="B27">
            <v>10</v>
          </cell>
          <cell r="C27">
            <v>200217.46940991812</v>
          </cell>
          <cell r="D27">
            <v>120000</v>
          </cell>
        </row>
        <row r="28">
          <cell r="B28">
            <v>20</v>
          </cell>
          <cell r="C28">
            <v>721131.21927512833</v>
          </cell>
          <cell r="D28">
            <v>240000</v>
          </cell>
        </row>
        <row r="29">
          <cell r="B29">
            <v>30</v>
          </cell>
          <cell r="C29">
            <v>2076413.2313710852</v>
          </cell>
          <cell r="D29">
            <v>360000</v>
          </cell>
        </row>
        <row r="35">
          <cell r="C35" t="str">
            <v>% sugerido</v>
          </cell>
        </row>
        <row r="36">
          <cell r="B36" t="str">
            <v>Papel</v>
          </cell>
          <cell r="C36">
            <v>0.3</v>
          </cell>
        </row>
        <row r="37">
          <cell r="B37" t="str">
            <v>Tijolo</v>
          </cell>
          <cell r="C37">
            <v>0.3</v>
          </cell>
        </row>
        <row r="38">
          <cell r="B38" t="str">
            <v>Híbrido</v>
          </cell>
          <cell r="C38">
            <v>0.15</v>
          </cell>
        </row>
        <row r="39">
          <cell r="B39" t="str">
            <v>Fundo de Fundos</v>
          </cell>
          <cell r="C39">
            <v>0.1</v>
          </cell>
        </row>
        <row r="40">
          <cell r="B40" t="str">
            <v>Desenvolvimento</v>
          </cell>
          <cell r="C40">
            <v>0.05</v>
          </cell>
        </row>
        <row r="41">
          <cell r="B41" t="str">
            <v>Hotelaria</v>
          </cell>
          <cell r="C41">
            <v>0.1</v>
          </cell>
        </row>
      </sheetData>
      <sheetData sheetId="1">
        <row r="5">
          <cell r="A5" t="str">
            <v>Conservador-Papel</v>
          </cell>
          <cell r="B5" t="str">
            <v>Conservador</v>
          </cell>
          <cell r="C5" t="str">
            <v>Papel</v>
          </cell>
          <cell r="D5">
            <v>0.4</v>
          </cell>
          <cell r="F5" t="str">
            <v>Conservador</v>
          </cell>
        </row>
        <row r="6">
          <cell r="A6" t="str">
            <v>Conservador-Tijolo</v>
          </cell>
          <cell r="B6" t="str">
            <v>Conservador</v>
          </cell>
          <cell r="C6" t="str">
            <v>Tijolo</v>
          </cell>
          <cell r="D6">
            <v>0.35</v>
          </cell>
          <cell r="F6" t="str">
            <v>Moderado</v>
          </cell>
        </row>
        <row r="7">
          <cell r="A7" t="str">
            <v>Conservador-Híbrido</v>
          </cell>
          <cell r="B7" t="str">
            <v>Conservador</v>
          </cell>
          <cell r="C7" t="str">
            <v>Híbrido</v>
          </cell>
          <cell r="D7">
            <v>0.15</v>
          </cell>
          <cell r="F7" t="str">
            <v>Agressivo</v>
          </cell>
        </row>
        <row r="8">
          <cell r="A8" t="str">
            <v>Conservador-Fundo de Fundos</v>
          </cell>
          <cell r="B8" t="str">
            <v>Conservador</v>
          </cell>
          <cell r="C8" t="str">
            <v>Fundo de Fundos</v>
          </cell>
          <cell r="D8">
            <v>0.1</v>
          </cell>
        </row>
        <row r="9">
          <cell r="A9" t="str">
            <v>Conservador-Desenvolvimento</v>
          </cell>
          <cell r="B9" t="str">
            <v>Conservador</v>
          </cell>
          <cell r="C9" t="str">
            <v>Desenvolvimento</v>
          </cell>
          <cell r="D9">
            <v>0</v>
          </cell>
        </row>
        <row r="10">
          <cell r="A10" t="str">
            <v>Conservador-Hotelaria</v>
          </cell>
          <cell r="B10" t="str">
            <v>Conservador</v>
          </cell>
          <cell r="C10" t="str">
            <v>Hotelaria</v>
          </cell>
          <cell r="D10">
            <v>0</v>
          </cell>
        </row>
        <row r="11">
          <cell r="A11" t="str">
            <v>Moderado-Papel</v>
          </cell>
          <cell r="B11" t="str">
            <v>Moderado</v>
          </cell>
          <cell r="C11" t="str">
            <v>Papel</v>
          </cell>
          <cell r="D11">
            <v>0.3</v>
          </cell>
        </row>
        <row r="12">
          <cell r="A12" t="str">
            <v>Moderado-Tijolo</v>
          </cell>
          <cell r="B12" t="str">
            <v>Moderado</v>
          </cell>
          <cell r="C12" t="str">
            <v>Tijolo</v>
          </cell>
          <cell r="D12">
            <v>0.3</v>
          </cell>
        </row>
        <row r="13">
          <cell r="A13" t="str">
            <v>Moderado-Híbrido</v>
          </cell>
          <cell r="B13" t="str">
            <v>Moderado</v>
          </cell>
          <cell r="C13" t="str">
            <v>Híbrido</v>
          </cell>
          <cell r="D13">
            <v>0.15</v>
          </cell>
        </row>
        <row r="14">
          <cell r="A14" t="str">
            <v>Moderado-Fundo de Fundos</v>
          </cell>
          <cell r="B14" t="str">
            <v>Moderado</v>
          </cell>
          <cell r="C14" t="str">
            <v>Fundo de Fundos</v>
          </cell>
          <cell r="D14">
            <v>0.1</v>
          </cell>
        </row>
        <row r="15">
          <cell r="A15" t="str">
            <v>Moderado-Desenvolvimento</v>
          </cell>
          <cell r="B15" t="str">
            <v>Moderado</v>
          </cell>
          <cell r="C15" t="str">
            <v>Desenvolvimento</v>
          </cell>
          <cell r="D15">
            <v>0.05</v>
          </cell>
        </row>
        <row r="16">
          <cell r="A16" t="str">
            <v>Moderado-Hotelaria</v>
          </cell>
          <cell r="B16" t="str">
            <v>Moderado</v>
          </cell>
          <cell r="C16" t="str">
            <v>Hotelaria</v>
          </cell>
          <cell r="D16">
            <v>0.1</v>
          </cell>
        </row>
        <row r="17">
          <cell r="A17" t="str">
            <v>Agressivo-Papel</v>
          </cell>
          <cell r="B17" t="str">
            <v>Agressivo</v>
          </cell>
          <cell r="C17" t="str">
            <v>Papel</v>
          </cell>
          <cell r="D17">
            <v>0.2</v>
          </cell>
        </row>
        <row r="18">
          <cell r="A18" t="str">
            <v>Agressivo-Tijolo</v>
          </cell>
          <cell r="B18" t="str">
            <v>Agressivo</v>
          </cell>
          <cell r="C18" t="str">
            <v>Tijolo</v>
          </cell>
          <cell r="D18">
            <v>0.25</v>
          </cell>
        </row>
        <row r="19">
          <cell r="A19" t="str">
            <v>Agressivo-Híbrido</v>
          </cell>
          <cell r="B19" t="str">
            <v>Agressivo</v>
          </cell>
          <cell r="C19" t="str">
            <v>Híbrido</v>
          </cell>
          <cell r="D19">
            <v>0.1</v>
          </cell>
        </row>
        <row r="20">
          <cell r="A20" t="str">
            <v>Agressivo-Fundo de Fundos</v>
          </cell>
          <cell r="B20" t="str">
            <v>Agressivo</v>
          </cell>
          <cell r="C20" t="str">
            <v>Fundo de Fundos</v>
          </cell>
          <cell r="D20">
            <v>0.05</v>
          </cell>
        </row>
        <row r="21">
          <cell r="A21" t="str">
            <v>Agressivo-Desenvolvimento</v>
          </cell>
          <cell r="B21" t="str">
            <v>Agressivo</v>
          </cell>
          <cell r="C21" t="str">
            <v>Desenvolvimento</v>
          </cell>
          <cell r="D21">
            <v>0.2</v>
          </cell>
        </row>
        <row r="22">
          <cell r="A22" t="str">
            <v>Agressivo-Hotelaria</v>
          </cell>
          <cell r="B22" t="str">
            <v>Agressivo</v>
          </cell>
          <cell r="C22" t="str">
            <v>Hotelaria</v>
          </cell>
          <cell r="D22">
            <v>0.2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4"/>
  <sheetViews>
    <sheetView tabSelected="1" workbookViewId="0">
      <selection activeCell="A44" sqref="A44:XFD44"/>
    </sheetView>
  </sheetViews>
  <sheetFormatPr defaultColWidth="8.7109375" defaultRowHeight="15" x14ac:dyDescent="0.25"/>
  <cols>
    <col min="1" max="1" width="2" customWidth="1"/>
    <col min="2" max="2" width="46" customWidth="1"/>
    <col min="3" max="6" width="19" customWidth="1"/>
    <col min="7" max="7" width="3" customWidth="1"/>
  </cols>
  <sheetData>
    <row r="1" spans="2:6" ht="7.5" customHeight="1" x14ac:dyDescent="0.25"/>
    <row r="2" spans="2:6" ht="24" customHeight="1" x14ac:dyDescent="0.25">
      <c r="B2" s="33" t="s">
        <v>0</v>
      </c>
      <c r="C2" s="33"/>
      <c r="D2" s="33"/>
      <c r="E2" s="33"/>
      <c r="F2" s="33"/>
    </row>
    <row r="3" spans="2:6" ht="24" customHeight="1" x14ac:dyDescent="0.25">
      <c r="B3" s="33"/>
      <c r="C3" s="33"/>
      <c r="D3" s="33"/>
      <c r="E3" s="33"/>
      <c r="F3" s="33"/>
    </row>
    <row r="4" spans="2:6" ht="21.75" customHeight="1" thickBot="1" x14ac:dyDescent="0.3">
      <c r="B4" s="34" t="s">
        <v>1</v>
      </c>
      <c r="C4" s="34"/>
      <c r="D4" s="34"/>
      <c r="E4" s="34"/>
      <c r="F4" s="34"/>
    </row>
    <row r="5" spans="2:6" ht="7.5" customHeight="1" thickTop="1" x14ac:dyDescent="0.25"/>
    <row r="6" spans="2:6" x14ac:dyDescent="0.25">
      <c r="B6" s="1" t="s">
        <v>2</v>
      </c>
      <c r="C6" s="35" t="s">
        <v>3</v>
      </c>
      <c r="D6" s="35"/>
    </row>
    <row r="7" spans="2:6" ht="7.5" customHeight="1" x14ac:dyDescent="0.25"/>
    <row r="8" spans="2:6" ht="21.75" customHeight="1" x14ac:dyDescent="0.25">
      <c r="B8" s="30" t="s">
        <v>4</v>
      </c>
      <c r="C8" s="30"/>
      <c r="D8" s="30"/>
      <c r="E8" s="30"/>
      <c r="F8" s="30"/>
    </row>
    <row r="9" spans="2:6" ht="15" customHeight="1" x14ac:dyDescent="0.25">
      <c r="B9" s="2" t="s">
        <v>5</v>
      </c>
      <c r="C9" s="3">
        <v>3500</v>
      </c>
      <c r="D9" s="28" t="s">
        <v>64</v>
      </c>
      <c r="E9" s="28"/>
      <c r="F9" s="28"/>
    </row>
    <row r="10" spans="2:6" ht="15" customHeight="1" x14ac:dyDescent="0.25">
      <c r="B10" s="2" t="s">
        <v>6</v>
      </c>
      <c r="C10" s="4">
        <v>7.4999999999999997E-3</v>
      </c>
      <c r="D10" s="28" t="s">
        <v>7</v>
      </c>
      <c r="E10" s="28"/>
      <c r="F10" s="28"/>
    </row>
    <row r="11" spans="2:6" ht="15" customHeight="1" x14ac:dyDescent="0.25">
      <c r="B11" s="2" t="s">
        <v>8</v>
      </c>
      <c r="C11" s="5">
        <v>0.3</v>
      </c>
      <c r="D11" s="28" t="s">
        <v>9</v>
      </c>
      <c r="E11" s="28"/>
      <c r="F11" s="28"/>
    </row>
    <row r="12" spans="2:6" ht="15" customHeight="1" x14ac:dyDescent="0.25">
      <c r="B12" s="2" t="s">
        <v>10</v>
      </c>
      <c r="C12" s="6">
        <f>salario*pct_aporte</f>
        <v>1050</v>
      </c>
      <c r="D12" s="28" t="s">
        <v>11</v>
      </c>
      <c r="E12" s="28"/>
      <c r="F12" s="28"/>
    </row>
    <row r="13" spans="2:6" ht="7.5" customHeight="1" x14ac:dyDescent="0.25"/>
    <row r="14" spans="2:6" ht="21.75" customHeight="1" x14ac:dyDescent="0.25">
      <c r="B14" s="30" t="s">
        <v>12</v>
      </c>
      <c r="C14" s="30"/>
      <c r="D14" s="30"/>
      <c r="E14" s="30"/>
      <c r="F14" s="30"/>
    </row>
    <row r="15" spans="2:6" x14ac:dyDescent="0.25">
      <c r="B15" s="2" t="s">
        <v>13</v>
      </c>
      <c r="C15" s="3">
        <v>1000</v>
      </c>
      <c r="D15" s="31" t="str">
        <f>IF(aporte&gt;salario,"ATENÇÃO: aporte maior que o salário",IF(aporte&lt;=sugestao_aporte,"OK: dentro da sugestão de aporte","ATENÇÃO: acima da sugestão de aporte"))</f>
        <v>OK: dentro da sugestão de aporte</v>
      </c>
      <c r="E15" s="31"/>
      <c r="F15" s="31"/>
    </row>
    <row r="16" spans="2:6" ht="15" customHeight="1" x14ac:dyDescent="0.25">
      <c r="B16" s="2" t="s">
        <v>14</v>
      </c>
      <c r="C16" s="7">
        <v>10</v>
      </c>
      <c r="D16" s="28" t="s">
        <v>15</v>
      </c>
      <c r="E16" s="28"/>
      <c r="F16" s="28"/>
    </row>
    <row r="17" spans="2:6" x14ac:dyDescent="0.25">
      <c r="B17" s="2" t="s">
        <v>16</v>
      </c>
      <c r="C17" s="4">
        <v>8.0000000000000002E-3</v>
      </c>
      <c r="D17" s="32">
        <f>(1+taxa_mensal)^12-1</f>
        <v>0.10033869371614701</v>
      </c>
      <c r="E17" s="32"/>
      <c r="F17" s="32"/>
    </row>
    <row r="18" spans="2:6" ht="15" customHeight="1" x14ac:dyDescent="0.25">
      <c r="B18" s="8" t="s">
        <v>17</v>
      </c>
      <c r="C18" s="6">
        <f>FV(taxa_mensal,prazo_anos*12,-aporte)</f>
        <v>200217.46940991812</v>
      </c>
      <c r="D18" s="28" t="s">
        <v>18</v>
      </c>
      <c r="E18" s="28"/>
      <c r="F18" s="28"/>
    </row>
    <row r="19" spans="2:6" ht="15" customHeight="1" x14ac:dyDescent="0.25">
      <c r="B19" s="8" t="s">
        <v>19</v>
      </c>
      <c r="C19" s="6">
        <f>patrimonio*rendimento_carteira</f>
        <v>1501.631020574386</v>
      </c>
      <c r="D19" s="28" t="s">
        <v>20</v>
      </c>
      <c r="E19" s="28"/>
      <c r="F19" s="28"/>
    </row>
    <row r="20" spans="2:6" ht="15" customHeight="1" x14ac:dyDescent="0.25">
      <c r="B20" s="2" t="s">
        <v>21</v>
      </c>
      <c r="C20" s="9">
        <f>aporte*prazo_anos*12</f>
        <v>120000</v>
      </c>
      <c r="D20" s="28" t="s">
        <v>22</v>
      </c>
      <c r="E20" s="28"/>
      <c r="F20" s="28"/>
    </row>
    <row r="21" spans="2:6" ht="15" customHeight="1" x14ac:dyDescent="0.25">
      <c r="B21" s="2" t="s">
        <v>23</v>
      </c>
      <c r="C21" s="9">
        <f>patrimonio-C20</f>
        <v>80217.469409918122</v>
      </c>
      <c r="D21" s="28" t="s">
        <v>24</v>
      </c>
      <c r="E21" s="28"/>
      <c r="F21" s="28"/>
    </row>
    <row r="22" spans="2:6" ht="7.5" customHeight="1" x14ac:dyDescent="0.25"/>
    <row r="23" spans="2:6" ht="21.75" customHeight="1" x14ac:dyDescent="0.25">
      <c r="B23" s="30" t="s">
        <v>25</v>
      </c>
      <c r="C23" s="30"/>
      <c r="D23" s="30"/>
      <c r="E23" s="30"/>
      <c r="F23" s="30"/>
    </row>
    <row r="24" spans="2:6" ht="21.75" customHeight="1" x14ac:dyDescent="0.25">
      <c r="B24" s="10" t="s">
        <v>26</v>
      </c>
      <c r="C24" s="10" t="s">
        <v>27</v>
      </c>
      <c r="D24" s="10" t="s">
        <v>28</v>
      </c>
      <c r="E24" s="10" t="s">
        <v>29</v>
      </c>
      <c r="F24" s="10" t="s">
        <v>30</v>
      </c>
    </row>
    <row r="25" spans="2:6" x14ac:dyDescent="0.25">
      <c r="B25" s="11">
        <v>2</v>
      </c>
      <c r="C25" s="9">
        <f>FV(taxa_mensal,$B25*12,-aporte)</f>
        <v>26343.155111119566</v>
      </c>
      <c r="D25" s="9">
        <f>aporte*$B25*12</f>
        <v>24000</v>
      </c>
      <c r="E25" s="9">
        <f>C25-D25</f>
        <v>2343.1551111195658</v>
      </c>
      <c r="F25" s="9">
        <f>C25*rendimento_carteira</f>
        <v>197.57366333339672</v>
      </c>
    </row>
    <row r="26" spans="2:6" x14ac:dyDescent="0.25">
      <c r="B26" s="11">
        <v>5</v>
      </c>
      <c r="C26" s="9">
        <f>FV(taxa_mensal,$B26*12,-aporte)</f>
        <v>76623.866831880223</v>
      </c>
      <c r="D26" s="9">
        <f>aporte*$B26*12</f>
        <v>60000</v>
      </c>
      <c r="E26" s="9">
        <f>C26-D26</f>
        <v>16623.866831880223</v>
      </c>
      <c r="F26" s="9">
        <f>C26*rendimento_carteira</f>
        <v>574.67900123910169</v>
      </c>
    </row>
    <row r="27" spans="2:6" x14ac:dyDescent="0.25">
      <c r="B27" s="11">
        <v>10</v>
      </c>
      <c r="C27" s="9">
        <f>FV(taxa_mensal,$B27*12,-aporte)</f>
        <v>200217.46940991812</v>
      </c>
      <c r="D27" s="9">
        <f>aporte*$B27*12</f>
        <v>120000</v>
      </c>
      <c r="E27" s="9">
        <f>C27-D27</f>
        <v>80217.469409918122</v>
      </c>
      <c r="F27" s="9">
        <f>C27*rendimento_carteira</f>
        <v>1501.631020574386</v>
      </c>
    </row>
    <row r="28" spans="2:6" x14ac:dyDescent="0.25">
      <c r="B28" s="11">
        <v>20</v>
      </c>
      <c r="C28" s="9">
        <f>FV(taxa_mensal,$B28*12,-aporte)</f>
        <v>721131.21927512833</v>
      </c>
      <c r="D28" s="9">
        <f>aporte*$B28*12</f>
        <v>240000</v>
      </c>
      <c r="E28" s="9">
        <f>C28-D28</f>
        <v>481131.21927512833</v>
      </c>
      <c r="F28" s="9">
        <f>C28*rendimento_carteira</f>
        <v>5408.484144563462</v>
      </c>
    </row>
    <row r="29" spans="2:6" x14ac:dyDescent="0.25">
      <c r="B29" s="11">
        <v>30</v>
      </c>
      <c r="C29" s="9">
        <f>FV(taxa_mensal,$B29*12,-aporte)</f>
        <v>2076413.2313710852</v>
      </c>
      <c r="D29" s="9">
        <f>aporte*$B29*12</f>
        <v>360000</v>
      </c>
      <c r="E29" s="9">
        <f>C29-D29</f>
        <v>1716413.2313710852</v>
      </c>
      <c r="F29" s="9">
        <f>C29*rendimento_carteira</f>
        <v>15573.099235283138</v>
      </c>
    </row>
    <row r="30" spans="2:6" ht="7.5" customHeight="1" x14ac:dyDescent="0.25"/>
    <row r="31" spans="2:6" ht="21.75" customHeight="1" x14ac:dyDescent="0.25">
      <c r="B31" s="30" t="s">
        <v>31</v>
      </c>
      <c r="C31" s="30"/>
      <c r="D31" s="30"/>
      <c r="E31" s="30"/>
      <c r="F31" s="30"/>
    </row>
    <row r="32" spans="2:6" ht="15" customHeight="1" x14ac:dyDescent="0.25">
      <c r="B32" s="2" t="s">
        <v>32</v>
      </c>
      <c r="C32" s="12" t="s">
        <v>33</v>
      </c>
      <c r="D32" s="28" t="s">
        <v>34</v>
      </c>
      <c r="E32" s="28"/>
      <c r="F32" s="28"/>
    </row>
    <row r="33" spans="2:6" ht="15" customHeight="1" x14ac:dyDescent="0.25">
      <c r="B33" s="2" t="s">
        <v>35</v>
      </c>
      <c r="C33" s="6">
        <f>aporte</f>
        <v>1000</v>
      </c>
      <c r="D33" s="28" t="s">
        <v>36</v>
      </c>
      <c r="E33" s="28"/>
      <c r="F33" s="28"/>
    </row>
    <row r="34" spans="2:6" ht="7.5" customHeight="1" x14ac:dyDescent="0.25"/>
    <row r="35" spans="2:6" x14ac:dyDescent="0.25">
      <c r="B35" s="13" t="s">
        <v>37</v>
      </c>
      <c r="C35" s="13" t="s">
        <v>38</v>
      </c>
      <c r="D35" s="13" t="s">
        <v>39</v>
      </c>
      <c r="E35" s="29" t="s">
        <v>40</v>
      </c>
      <c r="F35" s="29"/>
    </row>
    <row r="36" spans="2:6" ht="27" customHeight="1" x14ac:dyDescent="0.25">
      <c r="B36" s="2" t="s">
        <v>41</v>
      </c>
      <c r="C36" s="14">
        <f t="shared" ref="C36:C41" si="0">VLOOKUP($C$32&amp;"-"&amp;$B36,tabela_perfis,4,FALSE())</f>
        <v>0.3</v>
      </c>
      <c r="D36" s="9">
        <f t="shared" ref="D36:D41" si="1">C36*$C$33</f>
        <v>300</v>
      </c>
      <c r="E36" s="25" t="s">
        <v>42</v>
      </c>
      <c r="F36" s="25"/>
    </row>
    <row r="37" spans="2:6" ht="27" customHeight="1" x14ac:dyDescent="0.25">
      <c r="B37" s="2" t="s">
        <v>43</v>
      </c>
      <c r="C37" s="14">
        <f t="shared" si="0"/>
        <v>0.3</v>
      </c>
      <c r="D37" s="9">
        <f t="shared" si="1"/>
        <v>300</v>
      </c>
      <c r="E37" s="25" t="s">
        <v>44</v>
      </c>
      <c r="F37" s="25"/>
    </row>
    <row r="38" spans="2:6" ht="27" customHeight="1" x14ac:dyDescent="0.25">
      <c r="B38" s="2" t="s">
        <v>45</v>
      </c>
      <c r="C38" s="14">
        <f t="shared" si="0"/>
        <v>0.15</v>
      </c>
      <c r="D38" s="9">
        <f t="shared" si="1"/>
        <v>150</v>
      </c>
      <c r="E38" s="25" t="s">
        <v>46</v>
      </c>
      <c r="F38" s="25"/>
    </row>
    <row r="39" spans="2:6" ht="27" customHeight="1" x14ac:dyDescent="0.25">
      <c r="B39" s="2" t="s">
        <v>47</v>
      </c>
      <c r="C39" s="14">
        <f t="shared" si="0"/>
        <v>0.1</v>
      </c>
      <c r="D39" s="9">
        <f t="shared" si="1"/>
        <v>100</v>
      </c>
      <c r="E39" s="25" t="s">
        <v>48</v>
      </c>
      <c r="F39" s="25"/>
    </row>
    <row r="40" spans="2:6" ht="27" customHeight="1" x14ac:dyDescent="0.25">
      <c r="B40" s="2" t="s">
        <v>49</v>
      </c>
      <c r="C40" s="14">
        <f t="shared" si="0"/>
        <v>0.05</v>
      </c>
      <c r="D40" s="9">
        <f t="shared" si="1"/>
        <v>50</v>
      </c>
      <c r="E40" s="25" t="s">
        <v>50</v>
      </c>
      <c r="F40" s="25"/>
    </row>
    <row r="41" spans="2:6" ht="27" customHeight="1" x14ac:dyDescent="0.25">
      <c r="B41" s="2" t="s">
        <v>51</v>
      </c>
      <c r="C41" s="14">
        <f t="shared" si="0"/>
        <v>0.1</v>
      </c>
      <c r="D41" s="9">
        <f t="shared" si="1"/>
        <v>100</v>
      </c>
      <c r="E41" s="25" t="s">
        <v>52</v>
      </c>
      <c r="F41" s="25"/>
    </row>
    <row r="42" spans="2:6" x14ac:dyDescent="0.25">
      <c r="B42" s="8" t="s">
        <v>53</v>
      </c>
      <c r="C42" s="15">
        <f>SUM(C36:C41)</f>
        <v>1</v>
      </c>
      <c r="D42" s="6">
        <f>SUM(D36:D41)</f>
        <v>1000</v>
      </c>
      <c r="E42" s="26" t="str">
        <f>IF(ROUND(C42,6)=1,"OK: soma 100%","ATENÇÃO: soma diferente de 100%")</f>
        <v>OK: soma 100%</v>
      </c>
      <c r="F42" s="26"/>
    </row>
    <row r="43" spans="2:6" ht="7.5" customHeight="1" x14ac:dyDescent="0.25"/>
    <row r="44" spans="2:6" ht="15" customHeight="1" x14ac:dyDescent="0.25">
      <c r="B44" s="27"/>
      <c r="C44" s="27"/>
      <c r="D44" s="27"/>
      <c r="E44" s="27"/>
      <c r="F44" s="27"/>
    </row>
  </sheetData>
  <mergeCells count="29">
    <mergeCell ref="D17:F17"/>
    <mergeCell ref="B2:F3"/>
    <mergeCell ref="B4:F4"/>
    <mergeCell ref="C6:D6"/>
    <mergeCell ref="B8:F8"/>
    <mergeCell ref="D9:F9"/>
    <mergeCell ref="D10:F10"/>
    <mergeCell ref="D11:F11"/>
    <mergeCell ref="D12:F12"/>
    <mergeCell ref="B14:F14"/>
    <mergeCell ref="D15:F15"/>
    <mergeCell ref="D16:F16"/>
    <mergeCell ref="E38:F38"/>
    <mergeCell ref="D18:F18"/>
    <mergeCell ref="D19:F19"/>
    <mergeCell ref="D20:F20"/>
    <mergeCell ref="D21:F21"/>
    <mergeCell ref="B23:F23"/>
    <mergeCell ref="B31:F31"/>
    <mergeCell ref="D32:F32"/>
    <mergeCell ref="D33:F33"/>
    <mergeCell ref="E35:F35"/>
    <mergeCell ref="E36:F36"/>
    <mergeCell ref="E37:F37"/>
    <mergeCell ref="E39:F39"/>
    <mergeCell ref="E40:F40"/>
    <mergeCell ref="E41:F41"/>
    <mergeCell ref="E42:F42"/>
    <mergeCell ref="B44:F44"/>
  </mergeCells>
  <conditionalFormatting sqref="D15:F15">
    <cfRule type="expression" dxfId="3" priority="1">
      <formula>LEFT($D$15,2)="OK"</formula>
    </cfRule>
    <cfRule type="expression" dxfId="2" priority="2">
      <formula>LEFT($D$15,2)="AT"</formula>
    </cfRule>
  </conditionalFormatting>
  <conditionalFormatting sqref="E42:F42">
    <cfRule type="expression" dxfId="1" priority="3">
      <formula>LEFT($E$42,2)="OK"</formula>
    </cfRule>
    <cfRule type="expression" dxfId="0" priority="4">
      <formula>LEFT($E$42,2)="AT"</formula>
    </cfRule>
  </conditionalFormatting>
  <dataValidations count="7">
    <dataValidation type="decimal" showInputMessage="1" showErrorMessage="1" errorTitle="Taxa inválida" error="Digite entre 0% e 10% ao mês." sqref="C17">
      <formula1>0</formula1>
      <formula2>0.1</formula2>
    </dataValidation>
    <dataValidation type="whole" showInputMessage="1" showErrorMessage="1" errorTitle="Prazo inválido" error="Digite um número inteiro de 1 a 50 anos." sqref="C16 B25:B29">
      <formula1>1</formula1>
      <formula2>50</formula2>
    </dataValidation>
    <dataValidation type="decimal" operator="greaterThan" showInputMessage="1" showErrorMessage="1" errorTitle="Valor inválido" error="Digite um aporte maior que zero." sqref="C15">
      <formula1>0</formula1>
      <formula2>0</formula2>
    </dataValidation>
    <dataValidation type="decimal" showInputMessage="1" showErrorMessage="1" errorTitle="Percentual inválido" error="Digite entre 0% e 100%." sqref="C11">
      <formula1>0</formula1>
      <formula2>1</formula2>
    </dataValidation>
    <dataValidation type="decimal" showInputMessage="1" showErrorMessage="1" errorTitle="Taxa inválida" error="Digite entre 0% e 10%." sqref="C10">
      <formula1>0</formula1>
      <formula2>0.1</formula2>
    </dataValidation>
    <dataValidation type="decimal" operator="greaterThanOrEqual" showInputMessage="1" showErrorMessage="1" errorTitle="Valor inválido" error="Digite um salário maior ou igual a zero." sqref="C9">
      <formula1>0</formula1>
      <formula2>0</formula2>
    </dataValidation>
    <dataValidation type="list" showInputMessage="1" showErrorMessage="1" errorTitle="Perfil inválido" error="Escolha um perfil da lista." promptTitle="Perfil" prompt="Escolha na lista." sqref="C32">
      <formula1>lista_perfis</formula1>
      <formula2>0</formula2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H22"/>
  <sheetViews>
    <sheetView workbookViewId="0"/>
  </sheetViews>
  <sheetFormatPr defaultColWidth="8.7109375" defaultRowHeight="15" x14ac:dyDescent="0.25"/>
  <cols>
    <col min="1" max="1" width="26" customWidth="1"/>
    <col min="2" max="2" width="14" customWidth="1"/>
    <col min="3" max="3" width="18" customWidth="1"/>
    <col min="4" max="4" width="10" customWidth="1"/>
    <col min="5" max="5" width="3" customWidth="1"/>
    <col min="6" max="7" width="14" customWidth="1"/>
    <col min="8" max="8" width="18" customWidth="1"/>
  </cols>
  <sheetData>
    <row r="1" spans="1:8" ht="16.5" x14ac:dyDescent="0.25">
      <c r="A1" s="16" t="s">
        <v>54</v>
      </c>
    </row>
    <row r="2" spans="1:8" x14ac:dyDescent="0.25">
      <c r="A2" s="17" t="s">
        <v>55</v>
      </c>
    </row>
    <row r="4" spans="1:8" x14ac:dyDescent="0.25">
      <c r="A4" s="18" t="s">
        <v>56</v>
      </c>
      <c r="B4" s="18" t="s">
        <v>57</v>
      </c>
      <c r="C4" s="18" t="s">
        <v>58</v>
      </c>
      <c r="D4" s="18" t="s">
        <v>59</v>
      </c>
      <c r="F4" s="18" t="s">
        <v>57</v>
      </c>
      <c r="G4" s="18" t="s">
        <v>60</v>
      </c>
      <c r="H4" s="18" t="s">
        <v>61</v>
      </c>
    </row>
    <row r="5" spans="1:8" x14ac:dyDescent="0.25">
      <c r="A5" s="19" t="str">
        <f t="shared" ref="A5:A22" si="0">B5&amp;"-"&amp;C5</f>
        <v>Conservador-Papel</v>
      </c>
      <c r="B5" s="20" t="s">
        <v>62</v>
      </c>
      <c r="C5" s="20" t="s">
        <v>41</v>
      </c>
      <c r="D5" s="21">
        <v>0.4</v>
      </c>
      <c r="F5" s="22" t="s">
        <v>62</v>
      </c>
      <c r="G5" s="23">
        <f>SUMIF($B$5:$B$22,F5,$D$5:$D$22)</f>
        <v>1</v>
      </c>
      <c r="H5" s="24" t="str">
        <f>IF(ROUND(G5,6)=1,"OK","ERRO: revisar")</f>
        <v>OK</v>
      </c>
    </row>
    <row r="6" spans="1:8" x14ac:dyDescent="0.25">
      <c r="A6" s="19" t="str">
        <f t="shared" si="0"/>
        <v>Conservador-Tijolo</v>
      </c>
      <c r="B6" s="20" t="s">
        <v>62</v>
      </c>
      <c r="C6" s="20" t="s">
        <v>43</v>
      </c>
      <c r="D6" s="21">
        <v>0.35</v>
      </c>
      <c r="F6" s="22" t="s">
        <v>33</v>
      </c>
      <c r="G6" s="23">
        <f>SUMIF($B$5:$B$22,F6,$D$5:$D$22)</f>
        <v>1</v>
      </c>
      <c r="H6" s="24" t="str">
        <f>IF(ROUND(G6,6)=1,"OK","ERRO: revisar")</f>
        <v>OK</v>
      </c>
    </row>
    <row r="7" spans="1:8" x14ac:dyDescent="0.25">
      <c r="A7" s="19" t="str">
        <f t="shared" si="0"/>
        <v>Conservador-Híbrido</v>
      </c>
      <c r="B7" s="20" t="s">
        <v>62</v>
      </c>
      <c r="C7" s="20" t="s">
        <v>45</v>
      </c>
      <c r="D7" s="21">
        <v>0.15</v>
      </c>
      <c r="F7" s="22" t="s">
        <v>63</v>
      </c>
      <c r="G7" s="23">
        <f>SUMIF($B$5:$B$22,F7,$D$5:$D$22)</f>
        <v>1</v>
      </c>
      <c r="H7" s="24" t="str">
        <f>IF(ROUND(G7,6)=1,"OK","ERRO: revisar")</f>
        <v>OK</v>
      </c>
    </row>
    <row r="8" spans="1:8" x14ac:dyDescent="0.25">
      <c r="A8" s="19" t="str">
        <f t="shared" si="0"/>
        <v>Conservador-Fundo de Fundos</v>
      </c>
      <c r="B8" s="20" t="s">
        <v>62</v>
      </c>
      <c r="C8" s="20" t="s">
        <v>47</v>
      </c>
      <c r="D8" s="21">
        <v>0.1</v>
      </c>
    </row>
    <row r="9" spans="1:8" x14ac:dyDescent="0.25">
      <c r="A9" s="19" t="str">
        <f t="shared" si="0"/>
        <v>Conservador-Desenvolvimento</v>
      </c>
      <c r="B9" s="20" t="s">
        <v>62</v>
      </c>
      <c r="C9" s="20" t="s">
        <v>49</v>
      </c>
      <c r="D9" s="21">
        <v>0</v>
      </c>
    </row>
    <row r="10" spans="1:8" x14ac:dyDescent="0.25">
      <c r="A10" s="19" t="str">
        <f t="shared" si="0"/>
        <v>Conservador-Hotelaria</v>
      </c>
      <c r="B10" s="20" t="s">
        <v>62</v>
      </c>
      <c r="C10" s="20" t="s">
        <v>51</v>
      </c>
      <c r="D10" s="21">
        <v>0</v>
      </c>
    </row>
    <row r="11" spans="1:8" x14ac:dyDescent="0.25">
      <c r="A11" s="19" t="str">
        <f t="shared" si="0"/>
        <v>Moderado-Papel</v>
      </c>
      <c r="B11" s="20" t="s">
        <v>33</v>
      </c>
      <c r="C11" s="20" t="s">
        <v>41</v>
      </c>
      <c r="D11" s="21">
        <v>0.3</v>
      </c>
    </row>
    <row r="12" spans="1:8" x14ac:dyDescent="0.25">
      <c r="A12" s="19" t="str">
        <f t="shared" si="0"/>
        <v>Moderado-Tijolo</v>
      </c>
      <c r="B12" s="20" t="s">
        <v>33</v>
      </c>
      <c r="C12" s="20" t="s">
        <v>43</v>
      </c>
      <c r="D12" s="21">
        <v>0.3</v>
      </c>
    </row>
    <row r="13" spans="1:8" x14ac:dyDescent="0.25">
      <c r="A13" s="19" t="str">
        <f t="shared" si="0"/>
        <v>Moderado-Híbrido</v>
      </c>
      <c r="B13" s="20" t="s">
        <v>33</v>
      </c>
      <c r="C13" s="20" t="s">
        <v>45</v>
      </c>
      <c r="D13" s="21">
        <v>0.15</v>
      </c>
    </row>
    <row r="14" spans="1:8" x14ac:dyDescent="0.25">
      <c r="A14" s="19" t="str">
        <f t="shared" si="0"/>
        <v>Moderado-Fundo de Fundos</v>
      </c>
      <c r="B14" s="20" t="s">
        <v>33</v>
      </c>
      <c r="C14" s="20" t="s">
        <v>47</v>
      </c>
      <c r="D14" s="21">
        <v>0.1</v>
      </c>
    </row>
    <row r="15" spans="1:8" x14ac:dyDescent="0.25">
      <c r="A15" s="19" t="str">
        <f t="shared" si="0"/>
        <v>Moderado-Desenvolvimento</v>
      </c>
      <c r="B15" s="20" t="s">
        <v>33</v>
      </c>
      <c r="C15" s="20" t="s">
        <v>49</v>
      </c>
      <c r="D15" s="21">
        <v>0.05</v>
      </c>
    </row>
    <row r="16" spans="1:8" x14ac:dyDescent="0.25">
      <c r="A16" s="19" t="str">
        <f t="shared" si="0"/>
        <v>Moderado-Hotelaria</v>
      </c>
      <c r="B16" s="20" t="s">
        <v>33</v>
      </c>
      <c r="C16" s="20" t="s">
        <v>51</v>
      </c>
      <c r="D16" s="21">
        <v>0.1</v>
      </c>
    </row>
    <row r="17" spans="1:4" x14ac:dyDescent="0.25">
      <c r="A17" s="19" t="str">
        <f t="shared" si="0"/>
        <v>Agressivo-Papel</v>
      </c>
      <c r="B17" s="20" t="s">
        <v>63</v>
      </c>
      <c r="C17" s="20" t="s">
        <v>41</v>
      </c>
      <c r="D17" s="21">
        <v>0.2</v>
      </c>
    </row>
    <row r="18" spans="1:4" x14ac:dyDescent="0.25">
      <c r="A18" s="19" t="str">
        <f t="shared" si="0"/>
        <v>Agressivo-Tijolo</v>
      </c>
      <c r="B18" s="20" t="s">
        <v>63</v>
      </c>
      <c r="C18" s="20" t="s">
        <v>43</v>
      </c>
      <c r="D18" s="21">
        <v>0.25</v>
      </c>
    </row>
    <row r="19" spans="1:4" x14ac:dyDescent="0.25">
      <c r="A19" s="19" t="str">
        <f t="shared" si="0"/>
        <v>Agressivo-Híbrido</v>
      </c>
      <c r="B19" s="20" t="s">
        <v>63</v>
      </c>
      <c r="C19" s="20" t="s">
        <v>45</v>
      </c>
      <c r="D19" s="21">
        <v>0.1</v>
      </c>
    </row>
    <row r="20" spans="1:4" x14ac:dyDescent="0.25">
      <c r="A20" s="19" t="str">
        <f t="shared" si="0"/>
        <v>Agressivo-Fundo de Fundos</v>
      </c>
      <c r="B20" s="20" t="s">
        <v>63</v>
      </c>
      <c r="C20" s="20" t="s">
        <v>47</v>
      </c>
      <c r="D20" s="21">
        <v>0.05</v>
      </c>
    </row>
    <row r="21" spans="1:4" x14ac:dyDescent="0.25">
      <c r="A21" s="19" t="str">
        <f t="shared" si="0"/>
        <v>Agressivo-Desenvolvimento</v>
      </c>
      <c r="B21" s="20" t="s">
        <v>63</v>
      </c>
      <c r="C21" s="20" t="s">
        <v>49</v>
      </c>
      <c r="D21" s="21">
        <v>0.2</v>
      </c>
    </row>
    <row r="22" spans="1:4" x14ac:dyDescent="0.25">
      <c r="A22" s="19" t="str">
        <f t="shared" si="0"/>
        <v>Agressivo-Hotelaria</v>
      </c>
      <c r="B22" s="20" t="s">
        <v>63</v>
      </c>
      <c r="C22" s="20" t="s">
        <v>51</v>
      </c>
      <c r="D22" s="21">
        <v>0.2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APP</vt:lpstr>
      <vt:lpstr>APOIO</vt:lpstr>
      <vt:lpstr>aporte</vt:lpstr>
      <vt:lpstr>patrimonio</vt:lpstr>
      <vt:lpstr>pct_aporte</vt:lpstr>
      <vt:lpstr>prazo_anos</vt:lpstr>
      <vt:lpstr>rendimento_carteira</vt:lpstr>
      <vt:lpstr>salario</vt:lpstr>
      <vt:lpstr>sugestao_aporte</vt:lpstr>
      <vt:lpstr>taxa_mensal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Lipan</dc:creator>
  <cp:lastModifiedBy>Lipan</cp:lastModifiedBy>
  <dcterms:created xsi:type="dcterms:W3CDTF">2026-10-17T21:47:35Z</dcterms:created>
  <dcterms:modified xsi:type="dcterms:W3CDTF">2026-10-17T22:00:34Z</dcterms:modified>
</cp:coreProperties>
</file>